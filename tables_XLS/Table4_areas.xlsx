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<sst xmlns="http://schemas.openxmlformats.org/spreadsheetml/2006/main" count="16" uniqueCount="15">
  <si>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Table 4. Mapped area of each habitat class in the two epochs over the 2956 ha on which the entropy filter permits a change statement. Areas are pixel counts scaled by the cell area of 0.0725 ha. Net and Relative are computed as Present − Baseline and Net / Baseline. No confidence interval is given: a stratified estimator requires a probability validation sample, and the plot archive is a convenience sample. Supported records whether the change is backed by the separability of the classes involved (Section 3.1).</t>
  </si>
  <si>
    <t xml:space="preserve">Habitat class</t>
  </si>
  <si>
    <t xml:space="preserve">Baseline (ha)</t>
  </si>
  <si>
    <t xml:space="preserve">Present (ha)</t>
  </si>
  <si>
    <t xml:space="preserve">Net (ha)</t>
  </si>
  <si>
    <t xml:space="preserve">Relative</t>
  </si>
  <si>
    <t xml:space="preserve">Supported</t>
  </si>
  <si>
    <t xml:space="preserve">Saline swamp</t>
  </si>
  <si>
    <t xml:space="preserve">yes</t>
  </si>
  <si>
    <t xml:space="preserve">Temporary floodplain</t>
  </si>
  <si>
    <t xml:space="preserve">partly</t>
  </si>
  <si>
    <t xml:space="preserve">Temporary ponds</t>
  </si>
  <si>
    <t xml:space="preserve">no</t>
  </si>
  <si>
    <t xml:space="preserve">Terrestrial saline flats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</si>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</sst>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#,##0;\-#,##0"/>
    <numFmt numFmtId="167" formatCode="\+0%;\-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12"/>
  </cols>
  <sheetData>
    <row r="1" customFormat="false" ht="73.1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n">
        <v>657</v>
      </c>
      <c r="C3" s="4" t="n">
        <v>379</v>
      </c>
      <c r="D3" s="5" t="n">
        <f aca="false">C3-B3</f>
        <v>-278</v>
      </c>
      <c r="E3" s="6" t="n">
        <f aca="false">(C3-B3)/B3</f>
        <v>-0.423135464231355</v>
      </c>
      <c r="F3" s="3" t="s">
        <v>8</v>
      </c>
    </row>
    <row r="4" customFormat="false" ht="15" hidden="false" customHeight="false" outlineLevel="0" collapsed="false">
      <c r="A4" s="3" t="s">
        <v>9</v>
      </c>
      <c r="B4" s="4" t="n">
        <v>1399</v>
      </c>
      <c r="C4" s="4" t="n">
        <v>1231</v>
      </c>
      <c r="D4" s="5" t="n">
        <f aca="false">C4-B4</f>
        <v>-168</v>
      </c>
      <c r="E4" s="6" t="n">
        <f aca="false">(C4-B4)/B4</f>
        <v>-0.120085775553967</v>
      </c>
      <c r="F4" s="3" t="s">
        <v>10</v>
      </c>
    </row>
    <row r="5" customFormat="false" ht="15" hidden="false" customHeight="false" outlineLevel="0" collapsed="false">
      <c r="A5" s="3" t="s">
        <v>11</v>
      </c>
      <c r="B5" s="4" t="n">
        <v>182</v>
      </c>
      <c r="C5" s="4" t="n">
        <v>567</v>
      </c>
      <c r="D5" s="5" t="n">
        <f aca="false">C5-B5</f>
        <v>385</v>
      </c>
      <c r="E5" s="6" t="n">
        <f aca="false">(C5-B5)/B5</f>
        <v>2.11538461538462</v>
      </c>
      <c r="F5" s="3" t="s">
        <v>12</v>
      </c>
    </row>
    <row r="6" customFormat="false" ht="15" hidden="false" customHeight="false" outlineLevel="0" collapsed="false">
      <c r="A6" s="3" t="s">
        <v>13</v>
      </c>
      <c r="B6" s="4" t="n">
        <v>718</v>
      </c>
      <c r="C6" s="4" t="n">
        <v>779</v>
      </c>
      <c r="D6" s="5" t="n">
        <f aca="false">C6-B6</f>
        <v>61</v>
      </c>
      <c r="E6" s="6" t="n">
        <f aca="false">(C6-B6)/B6</f>
        <v>0.084958217270195</v>
      </c>
      <c r="F6" s="3" t="s">
        <v>8</v>
      </c>
    </row>
    <row r="7" customFormat="false" ht="15" hidden="false" customHeight="false" outlineLevel="0" collapsed="false">
      <c r="A7" s="7" t="s">
        <v>14</v>
      </c>
      <c r="B7" s="8" t="n">
        <f aca="false">SUM(B3:B6)</f>
        <v>2956</v>
      </c>
      <c r="C7" s="8" t="n">
        <f aca="false">SUM(C3:C6)</f>
        <v>2956</v>
      </c>
      <c r="D7" s="9"/>
      <c r="E7" s="9"/>
      <c r="F7" s="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2026-08-22T13:01:28Z</dcterms:created>
  <dc:creator>openpyxl</dc:creator>
  <dc:description/>
  <dc:language>en-US</dc:language>
  <cp:lastModifiedBy/>
  <dcterms:modified xsi:type="dcterms:W3CDTF">2026-08-22T13:01:28Z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